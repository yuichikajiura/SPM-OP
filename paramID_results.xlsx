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ichikajiura/Document_local/OU/Research/Code/SPM-OP/"/>
    </mc:Choice>
  </mc:AlternateContent>
  <xr:revisionPtr revIDLastSave="0" documentId="13_ncr:1_{9733A0B3-B65F-814C-9B56-376F8E04468A}" xr6:coauthVersionLast="47" xr6:coauthVersionMax="47" xr10:uidLastSave="{00000000-0000-0000-0000-000000000000}"/>
  <bookViews>
    <workbookView xWindow="380" yWindow="500" windowWidth="28040" windowHeight="15920" xr2:uid="{EEB1A3E0-1848-DA48-B431-303DA5F3CC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12" i="1"/>
  <c r="F12" i="1"/>
  <c r="E12" i="1"/>
  <c r="D12" i="1"/>
  <c r="H11" i="1"/>
  <c r="G11" i="1"/>
  <c r="F11" i="1"/>
  <c r="E11" i="1"/>
  <c r="D11" i="1"/>
  <c r="H10" i="1"/>
  <c r="G10" i="1"/>
  <c r="F10" i="1"/>
  <c r="E10" i="1"/>
  <c r="D10" i="1"/>
  <c r="C12" i="1"/>
  <c r="C11" i="1"/>
  <c r="C10" i="1"/>
  <c r="G5" i="1"/>
  <c r="H5" i="1"/>
  <c r="F5" i="1"/>
  <c r="C5" i="1"/>
</calcChain>
</file>

<file path=xl/sharedStrings.xml><?xml version="1.0" encoding="utf-8"?>
<sst xmlns="http://schemas.openxmlformats.org/spreadsheetml/2006/main" count="25" uniqueCount="15">
  <si>
    <t>PSO</t>
  </si>
  <si>
    <t>nLi</t>
  </si>
  <si>
    <t>Rfn</t>
  </si>
  <si>
    <t>kn</t>
  </si>
  <si>
    <t>kp</t>
  </si>
  <si>
    <t>Dsn</t>
  </si>
  <si>
    <t>Dsp</t>
  </si>
  <si>
    <t>C0_UDDS</t>
  </si>
  <si>
    <t>C0_FUDS</t>
  </si>
  <si>
    <t>C0_BJDST</t>
  </si>
  <si>
    <t>C0_Charge</t>
  </si>
  <si>
    <t>C0_Charge2</t>
  </si>
  <si>
    <t>Method</t>
  </si>
  <si>
    <t>GA</t>
  </si>
  <si>
    <t>PINN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</si>
</sst>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2" fontId="0" fillId="0" borderId="0" xfId="0" applyNumberFormat="1" applyAlignment="1">
      <alignment horizontal="right"/>
    </xf>
    <xf numFmtId="2" fontId="0" fillId="0" borderId="0" xfId="0" applyNumberFormat="1"/>
    <xf numFmtId="9" fontId="0" fillId="0" borderId="0" xfId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AC52-B57E-AB4F-8454-7B551BD801D4}">
  <dimension ref="B2:M12"/>
  <sheetViews>
    <sheetView showGridLines="0" tabSelected="1" zoomScale="116" workbookViewId="0">
      <selection activeCell="J14" sqref="J14"/>
    </sheetView>
  </sheetViews>
  <sheetFormatPr baseColWidth="10" defaultRowHeight="16" x14ac:dyDescent="0.2"/>
  <cols>
    <col min="5" max="5" width="11.6640625" bestFit="1" customWidth="1"/>
  </cols>
  <sheetData>
    <row r="2" spans="2:13" x14ac:dyDescent="0.2">
      <c r="B2" s="1" t="s">
        <v>12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</row>
    <row r="3" spans="2:13" x14ac:dyDescent="0.2">
      <c r="B3" t="s">
        <v>0</v>
      </c>
      <c r="C3" s="3">
        <v>1.1556999999999999</v>
      </c>
      <c r="D3" s="3">
        <v>1</v>
      </c>
      <c r="E3" s="3">
        <v>1.4313</v>
      </c>
      <c r="F3" s="3">
        <v>0.629</v>
      </c>
      <c r="G3" s="3">
        <v>0.625</v>
      </c>
      <c r="H3" s="3">
        <v>1.9141999999999999</v>
      </c>
      <c r="I3" s="3">
        <v>1.1025</v>
      </c>
      <c r="J3" s="3">
        <v>1.0920000000000001</v>
      </c>
      <c r="K3" s="3">
        <v>1.0766</v>
      </c>
      <c r="L3" s="3">
        <v>1.1559999999999999</v>
      </c>
      <c r="M3" s="3">
        <v>1.0076000000000001</v>
      </c>
    </row>
    <row r="4" spans="2:13" x14ac:dyDescent="0.2">
      <c r="B4" t="s">
        <v>13</v>
      </c>
      <c r="C4" s="4">
        <v>1.2533000000000001</v>
      </c>
      <c r="D4" s="3">
        <v>1</v>
      </c>
      <c r="E4" s="4">
        <v>0.74619999999999997</v>
      </c>
      <c r="F4" s="4">
        <v>0.82550000000000001</v>
      </c>
      <c r="G4" s="4">
        <v>0.62760000000000005</v>
      </c>
      <c r="H4" s="4">
        <v>1.9710000000000001</v>
      </c>
      <c r="I4" s="4">
        <v>1.3281000000000001</v>
      </c>
      <c r="J4" s="4">
        <v>1.0605</v>
      </c>
      <c r="K4" s="4">
        <v>1.0823</v>
      </c>
      <c r="L4" s="4">
        <v>1.1600999999999999</v>
      </c>
      <c r="M4" s="4">
        <v>1.0097</v>
      </c>
    </row>
    <row r="5" spans="2:13" x14ac:dyDescent="0.2">
      <c r="B5" t="s">
        <v>14</v>
      </c>
      <c r="C5" s="4">
        <f>0.78795/0.8</f>
        <v>0.98493750000000002</v>
      </c>
      <c r="D5" s="3">
        <v>1</v>
      </c>
      <c r="E5" s="3">
        <v>1.0864465151017699</v>
      </c>
      <c r="F5" s="3">
        <f>0.56527/0.8</f>
        <v>0.70658750000000003</v>
      </c>
      <c r="G5" s="3">
        <f>1.91684/0.8</f>
        <v>2.3960499999999998</v>
      </c>
      <c r="H5" s="3">
        <f>1.42735/0.8</f>
        <v>1.7841874999999998</v>
      </c>
      <c r="I5" s="4"/>
      <c r="J5" s="4"/>
      <c r="K5" s="4"/>
      <c r="L5" s="4"/>
      <c r="M5" s="4"/>
    </row>
    <row r="9" spans="2:13" x14ac:dyDescent="0.2">
      <c r="B9" s="1" t="s">
        <v>12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</row>
    <row r="10" spans="2:13" x14ac:dyDescent="0.2">
      <c r="B10" t="s">
        <v>0</v>
      </c>
      <c r="C10" s="5">
        <f>C3-1</f>
        <v>0.15569999999999995</v>
      </c>
      <c r="D10" s="5">
        <f t="shared" ref="D10:H10" si="0">D3-1</f>
        <v>0</v>
      </c>
      <c r="E10" s="5">
        <f t="shared" si="0"/>
        <v>0.43130000000000002</v>
      </c>
      <c r="F10" s="5">
        <f t="shared" si="0"/>
        <v>-0.371</v>
      </c>
      <c r="G10" s="5">
        <f t="shared" si="0"/>
        <v>-0.375</v>
      </c>
      <c r="H10" s="5">
        <f t="shared" si="0"/>
        <v>0.9141999999999999</v>
      </c>
    </row>
    <row r="11" spans="2:13" x14ac:dyDescent="0.2">
      <c r="B11" t="s">
        <v>13</v>
      </c>
      <c r="C11" s="5">
        <f t="shared" ref="C11:H12" si="1">C4-1</f>
        <v>0.25330000000000008</v>
      </c>
      <c r="D11" s="5">
        <f t="shared" si="1"/>
        <v>0</v>
      </c>
      <c r="E11" s="5">
        <f t="shared" si="1"/>
        <v>-0.25380000000000003</v>
      </c>
      <c r="F11" s="5">
        <f t="shared" si="1"/>
        <v>-0.17449999999999999</v>
      </c>
      <c r="G11" s="5">
        <f t="shared" si="1"/>
        <v>-0.37239999999999995</v>
      </c>
      <c r="H11" s="5">
        <f t="shared" si="1"/>
        <v>0.97100000000000009</v>
      </c>
    </row>
    <row r="12" spans="2:13" x14ac:dyDescent="0.2">
      <c r="B12" t="s">
        <v>14</v>
      </c>
      <c r="C12" s="5">
        <f t="shared" si="1"/>
        <v>-1.5062499999999979E-2</v>
      </c>
      <c r="D12" s="5">
        <f t="shared" si="1"/>
        <v>0</v>
      </c>
      <c r="E12" s="5">
        <f t="shared" si="1"/>
        <v>8.6446515101769927E-2</v>
      </c>
      <c r="F12" s="5">
        <f t="shared" si="1"/>
        <v>-0.29341249999999997</v>
      </c>
      <c r="G12" s="5">
        <f t="shared" si="1"/>
        <v>1.3960499999999998</v>
      </c>
      <c r="H12" s="5">
        <f t="shared" si="1"/>
        <v>0.78418749999999982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Kajiura, Yuichi</dc:creator>
  <cp:lastModifiedBy>Kajiura, Yuichi</cp:lastModifiedBy>
  <dcterms:created xsi:type="dcterms:W3CDTF">2025-02-20T12:48:36Z</dcterms:created>
  <dcterms:modified xsi:type="dcterms:W3CDTF">2025-02-25T21:02:07Z</dcterms:modified>
</cp:coreProperties>
</file>